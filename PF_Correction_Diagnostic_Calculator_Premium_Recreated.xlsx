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 Dashboard" sheetId="1" state="visible" r:id="rId1"/>
    <sheet xmlns:r="http://schemas.openxmlformats.org/officeDocument/2006/relationships" name="Calculation Engine" sheetId="2" state="hidden" r:id="rId2"/>
    <sheet xmlns:r="http://schemas.openxmlformats.org/officeDocument/2006/relationships" name="Assumptions &amp; Notes" sheetId="3" state="veryHidden" r:id="rId3"/>
  </sheets>
  <definedNames>
    <definedName name="_xlnm.Print_Area" localSheetId="0">'Calculator Dashboard'!$B$2:$L$51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9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4472C4"/>
      <sz val="11"/>
    </font>
    <font>
      <b val="1"/>
      <color rgb="00FFFFFF"/>
    </font>
    <font>
      <b val="1"/>
      <color rgb="00404040"/>
    </font>
    <font>
      <b val="1"/>
      <color rgb="0017365D"/>
      <sz val="13"/>
    </font>
    <font>
      <b val="1"/>
      <color rgb="00C00000"/>
      <sz val="18"/>
    </font>
    <font>
      <b val="1"/>
      <color rgb="0070AD47"/>
      <sz val="16"/>
    </font>
    <font>
      <b val="1"/>
      <color rgb="00FFFFFF"/>
      <sz val="13"/>
    </font>
    <font>
      <b val="1"/>
      <color rgb="00404040"/>
      <sz val="13"/>
    </font>
    <font>
      <b val="1"/>
    </font>
    <font>
      <b val="1"/>
      <color rgb="0017365D"/>
    </font>
    <font>
      <b val="1"/>
      <color rgb="0070AD47"/>
    </font>
    <font>
      <i val="1"/>
      <color rgb="00666666"/>
    </font>
    <font>
      <b val="1"/>
      <color rgb="004472C4"/>
    </font>
    <font>
      <color rgb="00FFFFFF"/>
    </font>
    <font>
      <b val="1"/>
      <color rgb="00C00000"/>
      <sz val="16"/>
    </font>
    <font>
      <b val="1"/>
      <color rgb="0017365D"/>
      <sz val="16"/>
    </font>
    <font>
      <b val="1"/>
      <color rgb="0070AD47"/>
      <sz val="13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EF5FB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2" fontId="0" fillId="4" borderId="1" applyAlignment="1" pivotButton="0" quotePrefix="0" xfId="0">
      <alignment horizontal="center"/>
    </xf>
    <xf numFmtId="164" fontId="15" fillId="0" borderId="0" pivotButton="0" quotePrefix="0" xfId="0"/>
    <xf numFmtId="0" fontId="16" fillId="5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15" fillId="0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7" fillId="6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0" fillId="4" borderId="0" pivotButton="0" quotePrefix="0" xfId="0"/>
    <xf numFmtId="0" fontId="11" fillId="0" borderId="0" pivotButton="0" quotePrefix="0" xfId="0"/>
    <xf numFmtId="0" fontId="0" fillId="4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⚡ PFI POWER FACTOR
CAPACITOR BANK DIAGNOSTIC</t>
        </is>
      </c>
    </row>
    <row r="3"/>
    <row r="4"/>
    <row r="5">
      <c r="B5" s="2" t="inlineStr">
        <is>
          <t>Bill-Based Power Factor Assessment | Power Quality &amp; Energy Optimization</t>
        </is>
      </c>
    </row>
    <row r="7">
      <c r="B7" s="3" t="inlineStr">
        <is>
          <t>BILL DATA</t>
        </is>
      </c>
      <c r="H7" s="4" t="inlineStr">
        <is>
          <t>CALCULATION RESULTS</t>
        </is>
      </c>
    </row>
    <row r="9">
      <c r="B9" s="5" t="inlineStr">
        <is>
          <t>Energy - Peak (kWh)</t>
        </is>
      </c>
      <c r="C9" s="6" t="inlineStr"/>
      <c r="G9" s="7">
        <f>Calculation Engine!B8</f>
        <v/>
      </c>
      <c r="H9" s="8">
        <f>"CURRENT PF"&amp;CHAR(10)&amp;TEXT(G9,"0.000")</f>
        <v/>
      </c>
    </row>
    <row r="10">
      <c r="B10" s="5" t="inlineStr">
        <is>
          <t>Energy - Off Peak (kWh)</t>
        </is>
      </c>
      <c r="C10" s="6" t="inlineStr"/>
      <c r="G10" s="9" t="inlineStr"/>
    </row>
    <row r="11">
      <c r="B11" s="5" t="inlineStr">
        <is>
          <t>Reactive Energy - Peak (kVARh)</t>
        </is>
      </c>
      <c r="C11" s="6" t="inlineStr"/>
      <c r="G11" s="10">
        <f>Calculation Engine!B13</f>
        <v/>
      </c>
      <c r="H11" s="11">
        <f>"REQUIRED CAPACITOR CAPACITY"&amp;CHAR(10)&amp;TEXT(G11,"0.0")&amp;" kVAR"</f>
        <v/>
      </c>
    </row>
    <row r="12">
      <c r="B12" s="5" t="inlineStr">
        <is>
          <t>Reactive Energy - Off Peak (kVARh)</t>
        </is>
      </c>
      <c r="C12" s="6" t="inlineStr"/>
    </row>
    <row r="13">
      <c r="B13" s="5" t="inlineStr">
        <is>
          <t>Desired Power Factor</t>
        </is>
      </c>
      <c r="C13" s="6" t="n">
        <v>0.95</v>
      </c>
      <c r="G13" s="12">
        <f>Calculation Engine!B20</f>
        <v/>
      </c>
      <c r="H13" s="13">
        <f>"RECOMMENDED CAPACITOR BANK"&amp;CHAR(10)&amp;G13</f>
        <v/>
      </c>
    </row>
    <row r="14"/>
    <row r="16">
      <c r="B16" s="14" t="inlineStr">
        <is>
          <t>STATUS</t>
        </is>
      </c>
    </row>
    <row r="17"/>
    <row r="18">
      <c r="B18" s="15">
        <f>IF(G9=0,"Enter bill values to calculate.",IF(G9&gt;=C13,"✓ PF is at or above the desired target.","⚠ PF is below the desired target — capacitor compensation is recommended."))</f>
        <v/>
      </c>
    </row>
    <row r="19"/>
    <row r="21">
      <c r="B21" s="3" t="inlineStr">
        <is>
          <t>EXISTING CAPACITOR BANK</t>
        </is>
      </c>
    </row>
    <row r="23">
      <c r="B23" s="16" t="inlineStr">
        <is>
          <t>Do you already have a capacitor bank?</t>
        </is>
      </c>
      <c r="C23" s="17" t="inlineStr">
        <is>
          <t>No</t>
        </is>
      </c>
    </row>
    <row r="25">
      <c r="B25" s="18" t="inlineStr">
        <is>
          <t>100 kVAR</t>
        </is>
      </c>
      <c r="C25" s="19" t="n">
        <v>0</v>
      </c>
      <c r="E25" s="18" t="inlineStr">
        <is>
          <t>50 kVAR</t>
        </is>
      </c>
      <c r="F25" s="19" t="n">
        <v>0</v>
      </c>
      <c r="H25" s="18" t="inlineStr">
        <is>
          <t>25 kVAR</t>
        </is>
      </c>
      <c r="I25" s="19" t="n">
        <v>0</v>
      </c>
      <c r="K25" s="18" t="inlineStr">
        <is>
          <t>12.5 kVAR</t>
        </is>
      </c>
      <c r="L25" s="19" t="n">
        <v>0</v>
      </c>
    </row>
    <row r="28">
      <c r="B28" s="18" t="inlineStr">
        <is>
          <t>7.5 kVAR</t>
        </is>
      </c>
      <c r="C28" s="19" t="n">
        <v>0</v>
      </c>
      <c r="E28" s="18" t="inlineStr">
        <is>
          <t>5 kVAR</t>
        </is>
      </c>
      <c r="F28" s="19" t="n">
        <v>0</v>
      </c>
      <c r="H28" s="18" t="inlineStr">
        <is>
          <t>3.5 kVAR</t>
        </is>
      </c>
      <c r="I28" s="19" t="n">
        <v>0</v>
      </c>
      <c r="K28" s="18" t="inlineStr">
        <is>
          <t>2.5 kVAR</t>
        </is>
      </c>
      <c r="L28" s="19" t="n">
        <v>0</v>
      </c>
    </row>
    <row r="31">
      <c r="B31" s="16" t="inlineStr">
        <is>
          <t>Installed Capacity (kVAR)</t>
        </is>
      </c>
      <c r="C31" s="20">
        <f>SUMPRODUCT(B27:E27,{100,50,25,12.5})+SUMPRODUCT(B30:E30,{7.5,5,3.5,2.5})</f>
        <v/>
      </c>
    </row>
    <row r="34">
      <c r="B34" s="4" t="inlineStr">
        <is>
          <t>TRANSFORMER ENERGIZED / FACTORY SHUTDOWN</t>
        </is>
      </c>
    </row>
    <row r="36">
      <c r="B36" t="inlineStr">
        <is>
          <t>Factory load during shutdown (kW)</t>
        </is>
      </c>
      <c r="C36" s="17" t="n">
        <v>0</v>
      </c>
    </row>
    <row r="37">
      <c r="B37" t="inlineStr">
        <is>
          <t>Transformer rating (kVA)</t>
        </is>
      </c>
      <c r="C37" s="17" t="n">
        <v>0</v>
      </c>
    </row>
    <row r="38">
      <c r="B38" t="inlineStr">
        <is>
          <t>Estimated no-load reactive requirement (kVAR)</t>
        </is>
      </c>
      <c r="C38">
        <f>IF(C37&lt;=0,0,C37*0.10)</f>
        <v/>
      </c>
    </row>
    <row r="39">
      <c r="B39" t="inlineStr">
        <is>
          <t>Recommended no-load capacitor step</t>
        </is>
      </c>
      <c r="C39">
        <f>IF(C38&lt;=0,0,IF(C38&lt;=2.5,2.5,IF(C38&lt;=3.5,3.5,IF(C38&lt;=5,5,IF(C38&lt;=7.5,7.5,IF(C38&lt;=12.5,12.5,IF(C38&lt;=25,25,IF(C38&lt;=50,50,IF(C38&lt;=100,100,CEILING(C38,7.5))))))))))</f>
        <v/>
      </c>
    </row>
    <row r="41">
      <c r="B41" s="18" t="inlineStr">
        <is>
          <t>Engineering note:</t>
        </is>
      </c>
    </row>
    <row r="42">
      <c r="B42" s="21" t="inlineStr">
        <is>
          <t>Transformer no-load requirement is an estimate based on rating and a generic 10% reactive assumption. Actual test data may differ.</t>
        </is>
      </c>
    </row>
    <row r="43"/>
    <row r="45">
      <c r="B45" s="3" t="inlineStr">
        <is>
          <t>SOLAR PV / PF CONTROLLER CHECK</t>
        </is>
      </c>
    </row>
    <row r="47">
      <c r="B47" t="inlineStr">
        <is>
          <t>Does customer have Solar PV?</t>
        </is>
      </c>
      <c r="C47" s="17" t="inlineStr">
        <is>
          <t>No</t>
        </is>
      </c>
    </row>
    <row r="48">
      <c r="B48" t="inlineStr">
        <is>
          <t>PF controller CT location</t>
        </is>
      </c>
      <c r="C48" s="17" t="inlineStr">
        <is>
          <t>Upstream of Solar connection</t>
        </is>
      </c>
    </row>
    <row r="50">
      <c r="B50" s="22" t="inlineStr">
        <is>
          <t>For detailed assessment or further consultation, contact the PFI Team: powerfactor@gmail.com</t>
        </is>
      </c>
    </row>
    <row r="51"/>
  </sheetData>
  <mergeCells count="14">
    <mergeCell ref="B18:L19"/>
    <mergeCell ref="H9:L10"/>
    <mergeCell ref="B7:F7"/>
    <mergeCell ref="H7:L7"/>
    <mergeCell ref="B21:L21"/>
    <mergeCell ref="B16:L17"/>
    <mergeCell ref="B5:L5"/>
    <mergeCell ref="B34:L34"/>
    <mergeCell ref="B2:L4"/>
    <mergeCell ref="B42:L43"/>
    <mergeCell ref="H11:L12"/>
    <mergeCell ref="B50:L51"/>
    <mergeCell ref="H13:L14"/>
    <mergeCell ref="B45:L45"/>
  </mergeCells>
  <dataValidations count="4">
    <dataValidation sqref="C13" showDropDown="0" showInputMessage="0" showErrorMessage="0" allowBlank="0" type="decimal" operator="between">
      <formula1>0.01</formula1>
      <formula2>1</formula2>
    </dataValidation>
    <dataValidation sqref="C23" showDropDown="0" showInputMessage="0" showErrorMessage="0" allowBlank="0" type="list">
      <formula1>"Yes,No"</formula1>
    </dataValidation>
    <dataValidation sqref="C47" showDropDown="0" showInputMessage="0" showErrorMessage="0" allowBlank="0" type="list">
      <formula1>"Yes,No"</formula1>
    </dataValidation>
    <dataValidation sqref="C48" showDropDown="0" showInputMessage="0" showErrorMessage="0" allowBlank="0" type="list">
      <formula1>"Upstream of Solar connection,Downstream of Solar connection"</formula1>
    </dataValidation>
  </dataValidations>
  <pageMargins left="0.75" right="0.75" top="1" bottom="1" header="0.5" footer="0.5"/>
  <pageSetup orientation="landscape" fitToHeight="1" fitToWidth="1"/>
  <headerFooter>
    <oddHeader/>
    <oddFooter>&amp;CPFI Team | Power Quality &amp; Energy Optimization&amp;RPage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Engine</t>
        </is>
      </c>
    </row>
    <row r="2">
      <c r="A2" t="inlineStr">
        <is>
          <t>Total Active Energy</t>
        </is>
      </c>
      <c r="B2">
        <f>'Calculator Dashboard'!C9+'Calculator Dashboard'!C10</f>
        <v/>
      </c>
    </row>
    <row r="3">
      <c r="A3" t="inlineStr">
        <is>
          <t>Total Reactive Energy</t>
        </is>
      </c>
      <c r="B3">
        <f>'Calculator Dashboard'!C11+'Calculator Dashboard'!C12</f>
        <v/>
      </c>
    </row>
    <row r="4">
      <c r="A4" t="inlineStr">
        <is>
          <t>Current PF</t>
        </is>
      </c>
      <c r="B4">
        <f>IFERROR(B2/SQRT(B2^2+B3^2),0)</f>
        <v/>
      </c>
    </row>
    <row r="5">
      <c r="A5" t="inlineStr">
        <is>
          <t>Desired PF</t>
        </is>
      </c>
      <c r="B5">
        <f>'Calculator Dashboard'!C13</f>
        <v/>
      </c>
    </row>
    <row r="6">
      <c r="A6" t="inlineStr">
        <is>
          <t>Target Reactive Component</t>
        </is>
      </c>
      <c r="B6">
        <f>IFERROR(B2*TAN(ACOS(B5)),0)</f>
        <v/>
      </c>
    </row>
    <row r="7">
      <c r="A7" t="inlineStr">
        <is>
          <t>Required Compensation</t>
        </is>
      </c>
      <c r="B7">
        <f>MAX(0,B3-B6)</f>
        <v/>
      </c>
    </row>
    <row r="8">
      <c r="A8" t="inlineStr">
        <is>
          <t>Current PF</t>
        </is>
      </c>
      <c r="B8">
        <f>B4</f>
        <v/>
      </c>
    </row>
    <row r="13">
      <c r="A13" t="inlineStr">
        <is>
          <t>Required Capacitor Capacity</t>
        </is>
      </c>
      <c r="B13">
        <f>B7</f>
        <v/>
      </c>
    </row>
    <row r="15">
      <c r="A15" t="inlineStr">
        <is>
          <t>Step 100</t>
        </is>
      </c>
      <c r="B15">
        <f>INT(B13/100)</f>
        <v/>
      </c>
    </row>
    <row r="16">
      <c r="A16" t="inlineStr">
        <is>
          <t>Step 50</t>
        </is>
      </c>
      <c r="B16">
        <f>INT((B13-B15*100)/50)</f>
        <v/>
      </c>
    </row>
    <row r="17">
      <c r="A17" t="inlineStr">
        <is>
          <t>Step 25</t>
        </is>
      </c>
      <c r="B17">
        <f>INT((B13-B15*100-B16*50)/25)</f>
        <v/>
      </c>
    </row>
    <row r="18">
      <c r="A18" t="inlineStr">
        <is>
          <t>Step 12.5</t>
        </is>
      </c>
      <c r="B18">
        <f>INT((B13-B15*100-B16*50-B17*25)/12.5)</f>
        <v/>
      </c>
    </row>
    <row r="19">
      <c r="A19" t="inlineStr">
        <is>
          <t>Residual</t>
        </is>
      </c>
      <c r="B19">
        <f>B13-B15*100-B16*50-B17*25-B18*12.5</f>
        <v/>
      </c>
    </row>
    <row r="20">
      <c r="A20" t="inlineStr">
        <is>
          <t>Recommendation</t>
        </is>
      </c>
      <c r="B20">
        <f>IF(B13&lt;=0,"No additional capacity required",IF(B15&gt;0,B15&amp;" × 100 kVAR ","")&amp;IF(B16&gt;0,B16&amp;" × 50 kVAR ","")&amp;IF(B17&gt;0,B17&amp;" × 25 kVAR ","")&amp;IF(B18&gt;0,B18&amp;" × 12.5 kVAR ","")&amp;IF(B19&gt;0,"+ small-step trim",""))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 &amp; Notes</t>
        </is>
      </c>
    </row>
    <row r="3">
      <c r="A3" t="inlineStr">
        <is>
          <t>Current PF is estimated from total monthly active and reactive energy.</t>
        </is>
      </c>
    </row>
    <row r="4">
      <c r="A4" t="inlineStr">
        <is>
          <t>Required compensation is calculated from current reactive component versus the reactive component corresponding to desired PF.</t>
        </is>
      </c>
    </row>
    <row r="5">
      <c r="A5" t="inlineStr">
        <is>
          <t>Recommended capacitor steps are practical nominal sizes: 100, 50, 25, 12.5, 7.5, 5, 3.5 and 2.5 kVAR.</t>
        </is>
      </c>
    </row>
    <row r="6">
      <c r="A6" t="inlineStr">
        <is>
          <t>Transformer no-load estimate uses a generic 10% reactive assumption and should be treated as an estimate.</t>
        </is>
      </c>
    </row>
    <row r="7">
      <c r="A7" t="inlineStr">
        <is>
          <t>Actual site PF may differ due to load profile, harmonics, controller/CT issues, capacitor degradation, and operating conditions.</t>
        </is>
      </c>
    </row>
    <row r="8">
      <c r="A8" t="inlineStr">
        <is>
          <t>This tool is for preliminary assessment and does not replace site measurement or detailed engineering study.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2026-08-23T17:11:21Z</dcterms:created>
  <dcterms:modified xmlns:dcterms="http://purl.org/dc/terms/" xmlns:xsi="http://www.w3.org/2001/XMLSchema-instance" xsi:type="dcterms:W3CDTF">2026-08-23T17:11:21Z</dcterms:modified>
</cp:coreProperties>
</file>
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esc-my.sharepoint.com/personal/adnan_sharif_ke_com_pk/Documents/Desktop/"/>
    </mc:Choice>
  </mc:AlternateContent>
  <xr:revisionPtr revIDLastSave="119" documentId="13_ncr:1_{31A521F2-D410-4AEE-AFC6-B1417B756719}" xr6:coauthVersionLast="47" xr6:coauthVersionMax="47" xr10:uidLastSave="{E80EDA88-5112-44BD-AFA9-8729523BA112}"/>
  <bookViews>
    <workbookView xWindow="-110" yWindow="-110" windowWidth="19420" windowHeight="10300" xr2:uid="{00000000-000D-0000-FFFF-FFFF00000000}"/>
  </bookViews>
  <sheets>
    <sheet name="Calculator Dashboard" sheetId="1" r:id="rId1"/>
    <sheet name="Engineering Calculations" sheetId="2" r:id="rId2"/>
    <sheet name="Assumptions &amp; Notes" sheetId="3" state="hidden" r:id="rId3"/>
  </sheets>
  <definedNames>
    <definedName name="_xlnm.Print_Area" localSheetId="0">'Calculator Dashboard'!$B$2:$L$46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B39" i="2"/>
  <c r="B38" i="2"/>
  <c r="B37" i="2"/>
  <c r="B53" i="2" l="1"/>
  <c r="B55" i="2" s="1"/>
  <c r="B52" i="2"/>
  <c r="B45" i="2"/>
  <c r="B44" i="2"/>
  <c r="B10" i="2"/>
  <c r="B9" i="2"/>
  <c r="B8" i="2"/>
  <c r="B7" i="2"/>
  <c r="B6" i="2"/>
  <c r="B5" i="2"/>
  <c r="B14" i="2" l="1"/>
  <c r="B13" i="2"/>
  <c r="B15" i="2" s="1"/>
  <c r="B47" i="2"/>
  <c r="B12" i="2"/>
  <c r="K6" i="1" s="1"/>
  <c r="B54" i="2"/>
  <c r="B56" i="2" s="1"/>
  <c r="B57" i="2" s="1"/>
  <c r="B58" i="2" s="1"/>
  <c r="B16" i="2" l="1"/>
  <c r="K38" i="1"/>
  <c r="B17" i="2"/>
  <c r="B20" i="2" l="1"/>
  <c r="D22" i="2"/>
  <c r="B42" i="1"/>
  <c r="B21" i="2" l="1"/>
  <c r="B22" i="2" s="1"/>
  <c r="B17" i="1"/>
  <c r="B23" i="2" l="1"/>
  <c r="E17" i="1"/>
  <c r="B24" i="2" l="1"/>
  <c r="B25" i="2" s="1"/>
  <c r="H17" i="1"/>
  <c r="B19" i="1" l="1"/>
  <c r="B26" i="2"/>
  <c r="E19" i="1"/>
  <c r="B28" i="2"/>
  <c r="B22" i="1" s="1"/>
  <c r="K17" i="1"/>
  <c r="B27" i="2" l="1"/>
  <c r="K19" i="1" s="1"/>
  <c r="H19" i="1"/>
  <c r="K10" i="1"/>
  <c r="E22" i="2"/>
  <c r="B33" i="2"/>
  <c r="B34" i="2"/>
  <c r="B35" i="2"/>
  <c r="B36" i="2"/>
  <c r="B41" i="2" l="1"/>
  <c r="B32" i="1" s="1"/>
  <c r="B29" i="2"/>
  <c r="H22" i="1" s="1"/>
  <c r="B42" i="2" l="1"/>
  <c r="H32" i="1" s="1"/>
</calcChain>
</file>

<file path=xl/sharedStrings.xml><?xml version="1.0" encoding="utf-8"?>
<sst xmlns="http://schemas.openxmlformats.org/spreadsheetml/2006/main" count="109" uniqueCount="95">
  <si>
    <t>POWER FACTOR &amp; CAPACITOR BANK
DIAGNOSTIC CALCULATOR</t>
  </si>
  <si>
    <t>CALCULATED CURRENT PF</t>
  </si>
  <si>
    <t>Energy - Peak</t>
  </si>
  <si>
    <t>Energy - Off Peak</t>
  </si>
  <si>
    <t>DESIRED PF</t>
  </si>
  <si>
    <t>Reactive Energy - Peak</t>
  </si>
  <si>
    <t>Reactive Energy - Off Peak</t>
  </si>
  <si>
    <t>Required Capacitor Capacity</t>
  </si>
  <si>
    <t>MDI (kW)</t>
  </si>
  <si>
    <t>RECOMMENDED CAPACITOR BANK</t>
  </si>
  <si>
    <t>100 kVAR</t>
  </si>
  <si>
    <t>50 kVAR</t>
  </si>
  <si>
    <t>25 kVAR</t>
  </si>
  <si>
    <t>12.5 kVAR</t>
  </si>
  <si>
    <t>TOTAL RECOMMENDED BANK</t>
  </si>
  <si>
    <t>STEP CONFIGURATION</t>
  </si>
  <si>
    <t>EXISTING CAPACITOR BANK</t>
  </si>
  <si>
    <t>Do you already have a capacitor bank?</t>
  </si>
  <si>
    <t>Yes / No</t>
  </si>
  <si>
    <t>INSTALLED CAPACITY</t>
  </si>
  <si>
    <t>BANK VS REQUIRED</t>
  </si>
  <si>
    <t>Factory Load (kW)</t>
  </si>
  <si>
    <t>Transformer Rating (kVA)</t>
  </si>
  <si>
    <t>Existing Capacitor Bank?</t>
  </si>
  <si>
    <t>Est. No-load kVAR</t>
  </si>
  <si>
    <t>RECOMMENDED NO-LOAD COMPENSATION</t>
  </si>
  <si>
    <t>ENGINEERING CALCULATIONS</t>
  </si>
  <si>
    <t>Bill Inputs</t>
  </si>
  <si>
    <t>Desired PF</t>
  </si>
  <si>
    <t>Calculated Current PF</t>
  </si>
  <si>
    <t>Total Active Energy (kWh)</t>
  </si>
  <si>
    <t>Total Reactive Energy (kVARh)</t>
  </si>
  <si>
    <t>Target Reactive Energy (kVARh) — internal calculation</t>
  </si>
  <si>
    <t>Required Reactive Energy Compensation (kVARh) — internal calculation</t>
  </si>
  <si>
    <t>Calculated Capacitor Requirement (kVAR) using MDI</t>
  </si>
  <si>
    <t>100 kVAR Steps</t>
  </si>
  <si>
    <t>Required</t>
  </si>
  <si>
    <t>Recommended</t>
  </si>
  <si>
    <t>50 kVAR Steps</t>
  </si>
  <si>
    <t>kVAR</t>
  </si>
  <si>
    <t>25 kVAR Steps</t>
  </si>
  <si>
    <t>12.5 kVAR Steps</t>
  </si>
  <si>
    <t>Required Capacitor Capacity (kVAR)</t>
  </si>
  <si>
    <t>Step Configuration</t>
  </si>
  <si>
    <t>Existing 100 kVAR qty</t>
  </si>
  <si>
    <t>Existing 50 kVAR qty</t>
  </si>
  <si>
    <t>Existing 25 kVAR qty</t>
  </si>
  <si>
    <t>Existing 12.5 kVAR qty</t>
  </si>
  <si>
    <t>Installed Capacity (kVAR)</t>
  </si>
  <si>
    <t>Bank Adequacy</t>
  </si>
  <si>
    <t>Solar PV</t>
  </si>
  <si>
    <t>CT Location</t>
  </si>
  <si>
    <t>Solar / CT Diagnostic</t>
  </si>
  <si>
    <t>Factory Load</t>
  </si>
  <si>
    <t>Transformer Rating</t>
  </si>
  <si>
    <t>Estimated Transformer No-load kVA</t>
  </si>
  <si>
    <t>Estimated Transformer No-load kW</t>
  </si>
  <si>
    <t>Estimated Transformer No-load kVAR</t>
  </si>
  <si>
    <t>Recommended No-load Compensation (kVAR)</t>
  </si>
  <si>
    <t>Recommended Step</t>
  </si>
  <si>
    <t>ASSUMPTIONS &amp; NOTES</t>
  </si>
  <si>
    <t>PFC formula</t>
  </si>
  <si>
    <t>Qc = P × [tan(cos⁻¹(PFexisting)) − tan(cos⁻¹(PFdesired))].</t>
  </si>
  <si>
    <t>Bill PF</t>
  </si>
  <si>
    <t>Billing-period PF is derived from total active and reactive energy: PF = kWh / √(kWh² + kVARh²).</t>
  </si>
  <si>
    <t>Bill terminology</t>
  </si>
  <si>
    <t>Customer inputs use the bill wording: Energy - Peak, Energy - Off Peak, Reactive Energy - Peak, Reactive Energy - Off Peak, MDI (kW).</t>
  </si>
  <si>
    <t>Capacitor sizing</t>
  </si>
  <si>
    <t>MDI and calculated billing PF are used to estimate a practical capacitor-bank kVAR requirement.</t>
  </si>
  <si>
    <t>Existing bank</t>
  </si>
  <si>
    <t>Installed step quantities are compared with the estimated requirement; adequacy does not prove that every capacitor step is healthy.</t>
  </si>
  <si>
    <t>Solar CT diagnostic</t>
  </si>
  <si>
    <t>CT location must be evaluated against the actual single-line diagram, PCC and controller measurement philosophy. The calculator flags cases for verification; it does not certify an installation.</t>
  </si>
  <si>
    <t>Transformer no-load</t>
  </si>
  <si>
    <t>Typical rating-band assumptions are used because nameplate/test-certificate no-load data are often unavailable.</t>
  </si>
  <si>
    <t>Engineering caution</t>
  </si>
  <si>
    <t>Final design should be verified with site measurements, manufacturer data, protection/metering configuration and applicable tariff requirements.</t>
  </si>
  <si>
    <t>Bill Based PF Correction + Existing Capacitor Bank + Solar CT Diagnostic + Transformer Shutdown</t>
  </si>
  <si>
    <t>Engineering estimates are indicative. Final capacitor-bank selection, CT location, and transformer no load compensation should be verified against actual site measurements, equipment data and the applicable tariff/metering arrangement.</t>
  </si>
  <si>
    <t>BILL DATA</t>
  </si>
  <si>
    <t>TRANSFORMER ENERGIZED / FACTORY SHUTDOWN</t>
  </si>
  <si>
    <t>Yes</t>
  </si>
  <si>
    <t>7.5 kVAR Steps</t>
  </si>
  <si>
    <t>5 kVAR Steps</t>
  </si>
  <si>
    <t>3.5 kVAR Steps</t>
  </si>
  <si>
    <t>2.5 kVAR Steps</t>
  </si>
  <si>
    <t>7.5 kVAR</t>
  </si>
  <si>
    <t>5 kVAR</t>
  </si>
  <si>
    <t>2.5 kVAR</t>
  </si>
  <si>
    <t>3.5 kVAR</t>
  </si>
  <si>
    <t>Existing 7.5 kVAR qty</t>
  </si>
  <si>
    <t>Existing 5 kVAR qty</t>
  </si>
  <si>
    <t>Existing 2.5 kVAR qty</t>
  </si>
  <si>
    <t>Existing 3.5 kVAR qty</t>
  </si>
  <si>
    <r>
      <t xml:space="preserve">Note:This calculation and recommendation are based on the average monthly bill data and the current PF calculated from the information provided. Actual site conditions may differ. For further consultation or a detailed assessment, please contact our PFI Team at </t>
    </r>
    <r>
      <rPr>
        <b/>
        <sz val="9"/>
        <color theme="1"/>
        <rFont val="Calibri"/>
        <family val="2"/>
        <scheme val="minor"/>
      </rPr>
      <t>power.factor@ke.com.pk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</si>
</sst>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&quot; kVAR&quot;"/>
  </numFmts>
  <fonts count="23" x14ac:knownFonts="1">
    <font>
      <sz val="11"/>
      <color theme="1"/>
      <name val="Calibri"/>
      <family val="2"/>
      <scheme val="minor"/>
    </font>
    <font>
      <b/>
      <sz val="19"/>
      <color rgb="FFFFFFFF"/>
      <name val="Calibri"/>
    </font>
    <font>
      <b/>
      <sz val="11"/>
      <color rgb="FFFFFFFF"/>
      <name val="Calibri"/>
    </font>
    <font>
      <b/>
      <sz val="11"/>
      <color rgb="FF404040"/>
      <name val="Calibri"/>
    </font>
    <font>
      <b/>
      <sz val="13"/>
      <color rgb="FF17365D"/>
      <name val="Calibri"/>
    </font>
    <font>
      <b/>
      <sz val="20"/>
      <color rgb="FF4472C4"/>
      <name val="Calibri"/>
    </font>
    <font>
      <b/>
      <sz val="18"/>
      <color rgb="FF17365D"/>
      <name val="Calibri"/>
    </font>
    <font>
      <b/>
      <sz val="18"/>
      <color rgb="FF70AD47"/>
      <name val="Calibri"/>
    </font>
    <font>
      <b/>
      <sz val="15"/>
      <color rgb="FF4472C4"/>
      <name val="Calibri"/>
    </font>
    <font>
      <b/>
      <sz val="20"/>
      <color rgb="FF17365D"/>
      <name val="Calibri"/>
    </font>
    <font>
      <b/>
      <sz val="11"/>
      <color rgb="FF17365D"/>
      <name val="Calibri"/>
    </font>
    <font>
      <b/>
      <sz val="12"/>
      <color rgb="FF17365D"/>
      <name val="Calibri"/>
    </font>
    <font>
      <b/>
      <sz val="14"/>
      <color rgb="FF17365D"/>
      <name val="Calibri"/>
    </font>
    <font>
      <b/>
      <sz val="17"/>
      <color rgb="FF17365D"/>
      <name val="Calibri"/>
    </font>
    <font>
      <b/>
      <sz val="13"/>
      <color rgb="FF70AD47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rgb="FF404040"/>
      <name val="Calibri"/>
      <family val="2"/>
    </font>
    <font>
      <b/>
      <sz val="11"/>
      <color rgb="FFFFFFFF"/>
      <name val="Calibri"/>
      <family val="2"/>
    </font>
    <font>
      <b/>
      <sz val="10"/>
      <color rgb="FF40404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B183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/>
      <top/>
      <bottom style="thin">
        <color rgb="FFC9D2D9"/>
      </bottom>
      <diagonal/>
    </border>
    <border>
      <left/>
      <right style="thin">
        <color rgb="FFC9D2D9"/>
      </right>
      <top/>
      <bottom style="thin">
        <color rgb="FFC9D2D9"/>
      </bottom>
      <diagonal/>
    </border>
    <border>
      <left/>
      <right/>
      <top/>
      <bottom style="thin">
        <color rgb="FFC9D2D9"/>
      </bottom>
      <diagonal/>
    </border>
    <border>
      <left style="thin">
        <color rgb="FFC9D2D9"/>
      </left>
      <right/>
      <top style="thin">
        <color rgb="FFC9D2D9"/>
      </top>
      <bottom style="thin">
        <color rgb="FFC9D2D9"/>
      </bottom>
      <diagonal/>
    </border>
    <border>
      <left style="thin">
        <color rgb="FFC9D2D9"/>
      </left>
      <right/>
      <top style="thin">
        <color rgb="FFC9D2D9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5" fillId="2" borderId="0" xfId="0" applyFont="1" applyFill="1"/>
    <xf numFmtId="0" fontId="16" fillId="0" borderId="0" xfId="0" applyFont="1"/>
    <xf numFmtId="0" fontId="16" fillId="4" borderId="0" xfId="0" applyFont="1" applyFill="1"/>
    <xf numFmtId="0" fontId="0" fillId="0" borderId="4" xfId="0" applyBorder="1" applyAlignment="1">
      <alignment horizontal="center"/>
    </xf>
    <xf numFmtId="0" fontId="18" fillId="3" borderId="9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7" fillId="6" borderId="9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8" xfId="0" applyBorder="1"/>
    <xf numFmtId="0" fontId="10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2" fontId="12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5" fillId="6" borderId="9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2" fontId="6" fillId="5" borderId="5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17" fillId="0" borderId="4" xfId="0" applyFont="1" applyBorder="1"/>
    <xf numFmtId="0" fontId="17" fillId="0" borderId="5" xfId="0" applyFont="1" applyBorder="1"/>
    <xf numFmtId="0" fontId="14" fillId="6" borderId="1" xfId="0" applyFont="1" applyFill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2" fontId="12" fillId="5" borderId="9" xfId="0" applyNumberFormat="1" applyFont="1" applyFill="1" applyBorder="1" applyAlignment="1">
      <alignment horizontal="center" vertical="center" wrapText="1"/>
    </xf>
    <xf numFmtId="2" fontId="12" fillId="5" borderId="5" xfId="0" applyNumberFormat="1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2" fontId="12" fillId="5" borderId="10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font>
        <b/>
        <color rgb="FF70AD47"/>
      </font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196760</xdr:colOff>
      <xdr:row>0</xdr:row>
      <xdr:rowOff>268310</xdr:rowOff>
    </xdr:from>
    <xdr:to>
      <xdr:col>21</xdr:col>
      <xdr:colOff>553521</xdr:colOff>
      <xdr:row>23</xdr:row>
      <xdr:rowOff>205704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36F23-3C37-CB4F-D8C6-C4B4E82EA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7042" y="268310"/>
          <a:ext cx="5830282" cy="7235422"/>
        </a:xfrm>
        <a:prstGeom prst="rect">
          <a:avLst/>
        </a:prstGeom>
      </xdr:spPr>
    </xdr:pic>
    <xdr:clientData/>
  </xdr:twoCellAnchor>
  <xdr:twoCellAnchor>
    <xdr:from>
      <xdr:col>12</xdr:col>
      <xdr:colOff>295141</xdr:colOff>
      <xdr:row>9</xdr:row>
      <xdr:rowOff>125211</xdr:rowOff>
    </xdr:from>
    <xdr:to>
      <xdr:col>17</xdr:col>
      <xdr:colOff>125211</xdr:colOff>
      <xdr:row>12</xdr:row>
      <xdr:rowOff>304085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233B88-0805-8807-9EC3-5B341489F99B}"/>
            </a:ext>
          </a:extLst>
        </xdr:cNvPr>
        <xdr:cNvSpPr/>
      </xdr:nvSpPr>
      <xdr:spPr>
        <a:xfrm>
          <a:off x="12315423" y="2781479"/>
          <a:ext cx="2870915" cy="1010634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62605</xdr:colOff>
      <xdr:row>10</xdr:row>
      <xdr:rowOff>125211</xdr:rowOff>
    </xdr:from>
    <xdr:to>
      <xdr:col>12</xdr:col>
      <xdr:colOff>116267</xdr:colOff>
      <xdr:row>11</xdr:row>
      <xdr:rowOff>152042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3EBC25B-0A21-0A01-D2D7-7997084BB521}"/>
            </a:ext>
          </a:extLst>
        </xdr:cNvPr>
        <xdr:cNvCxnSpPr/>
      </xdr:nvCxnSpPr>
      <xdr:spPr>
        <a:xfrm>
          <a:off x="6072746" y="3058732"/>
          <a:ext cx="6063803" cy="30408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5"/>
  <sheetViews>
    <sheetView showGridLines="0" tabSelected="1" topLeftCell="A8" zoomScale="75" workbookViewId="0">
      <selection activeCell="B13" sqref="B13:L13"/>
    </sheetView>
  </sheetViews>
  <sheetFormatPr defaultRowHeight="14.5" x14ac:dyDescent="0.35"/>
  <cols>
    <col min="1" max="1" width="3" customWidth="1"/>
    <col min="2" max="2" width="23" customWidth="1"/>
    <col min="3" max="3" width="17" customWidth="1"/>
    <col min="4" max="4" width="3" customWidth="1"/>
    <col min="5" max="5" width="23" customWidth="1"/>
    <col min="6" max="6" width="17" customWidth="1"/>
    <col min="7" max="7" width="3" customWidth="1"/>
    <col min="8" max="8" width="23" customWidth="1"/>
    <col min="9" max="9" width="17" customWidth="1"/>
    <col min="10" max="10" width="3" customWidth="1"/>
    <col min="11" max="11" width="23" customWidth="1"/>
    <col min="12" max="12" width="17" customWidth="1"/>
  </cols>
  <sheetData>
    <row r="1" spans="2:12" ht="22" customHeight="1" x14ac:dyDescent="0.35"/>
    <row r="2" spans="2:12" ht="28" customHeight="1" x14ac:dyDescent="0.35">
      <c r="B2" s="32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9"/>
    </row>
    <row r="3" spans="2:12" ht="28" customHeight="1" x14ac:dyDescent="0.35">
      <c r="B3" s="10"/>
      <c r="C3" s="22"/>
      <c r="D3" s="22"/>
      <c r="E3" s="22"/>
      <c r="F3" s="22"/>
      <c r="G3" s="22"/>
      <c r="H3" s="22"/>
      <c r="I3" s="22"/>
      <c r="J3" s="22"/>
      <c r="K3" s="22"/>
      <c r="L3" s="11"/>
    </row>
    <row r="4" spans="2:12" ht="22" customHeight="1" x14ac:dyDescent="0.35">
      <c r="B4" s="41" t="s">
        <v>77</v>
      </c>
      <c r="C4" s="42"/>
      <c r="D4" s="42"/>
      <c r="E4" s="42"/>
      <c r="F4" s="42"/>
      <c r="G4" s="42"/>
      <c r="H4" s="42"/>
      <c r="I4" s="42"/>
      <c r="J4" s="42"/>
      <c r="K4" s="42"/>
      <c r="L4" s="43"/>
    </row>
    <row r="5" spans="2:12" ht="22" customHeight="1" x14ac:dyDescent="0.35"/>
    <row r="6" spans="2:12" ht="22" customHeight="1" x14ac:dyDescent="0.35">
      <c r="B6" s="25" t="s">
        <v>79</v>
      </c>
      <c r="C6" s="15"/>
      <c r="D6" s="15"/>
      <c r="E6" s="15"/>
      <c r="F6" s="13"/>
      <c r="H6" s="12" t="s">
        <v>1</v>
      </c>
      <c r="I6" s="13"/>
      <c r="K6" s="33">
        <f>'Engineering Calculations'!B12</f>
        <v>0.82910562474308325</v>
      </c>
      <c r="L6" s="34"/>
    </row>
    <row r="7" spans="2:12" ht="22" customHeight="1" x14ac:dyDescent="0.35">
      <c r="B7" s="12" t="s">
        <v>2</v>
      </c>
      <c r="C7" s="13"/>
      <c r="E7" s="39">
        <v>368000</v>
      </c>
      <c r="F7" s="13"/>
      <c r="H7" s="40"/>
      <c r="I7" s="40"/>
      <c r="J7" s="40"/>
      <c r="K7" s="40"/>
      <c r="L7" s="40"/>
    </row>
    <row r="8" spans="2:12" ht="22" customHeight="1" x14ac:dyDescent="0.35">
      <c r="B8" s="12" t="s">
        <v>3</v>
      </c>
      <c r="C8" s="13"/>
      <c r="E8" s="39">
        <v>53243.311000000002</v>
      </c>
      <c r="F8" s="13"/>
      <c r="H8" s="12" t="s">
        <v>4</v>
      </c>
      <c r="I8" s="13"/>
      <c r="K8" s="35">
        <v>0.95</v>
      </c>
      <c r="L8" s="36"/>
    </row>
    <row r="9" spans="2:12" ht="22" customHeight="1" x14ac:dyDescent="0.35">
      <c r="B9" s="12" t="s">
        <v>5</v>
      </c>
      <c r="C9" s="13"/>
      <c r="E9" s="39">
        <v>254000</v>
      </c>
      <c r="F9" s="13"/>
      <c r="H9" s="40"/>
      <c r="I9" s="40"/>
      <c r="J9" s="40"/>
      <c r="K9" s="40"/>
      <c r="L9" s="40"/>
    </row>
    <row r="10" spans="2:12" ht="22" customHeight="1" x14ac:dyDescent="0.35">
      <c r="B10" s="12" t="s">
        <v>6</v>
      </c>
      <c r="C10" s="13"/>
      <c r="E10" s="39">
        <v>30057.613000000001</v>
      </c>
      <c r="F10" s="13"/>
      <c r="H10" s="12" t="s">
        <v>7</v>
      </c>
      <c r="I10" s="13"/>
      <c r="K10" s="37">
        <f>'Engineering Calculations'!B28</f>
        <v>237.5</v>
      </c>
      <c r="L10" s="38"/>
    </row>
    <row r="11" spans="2:12" ht="22" customHeight="1" x14ac:dyDescent="0.35">
      <c r="B11" s="12" t="s">
        <v>8</v>
      </c>
      <c r="C11" s="13"/>
      <c r="E11" s="39">
        <v>689.66200000000003</v>
      </c>
      <c r="F11" s="13"/>
    </row>
    <row r="12" spans="2:12" ht="22" customHeight="1" x14ac:dyDescent="0.35"/>
    <row r="13" spans="2:12" ht="50" customHeight="1" x14ac:dyDescent="0.35">
      <c r="B13" s="48" t="s">
        <v>94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2:12" ht="22" customHeight="1" x14ac:dyDescent="0.35"/>
    <row r="15" spans="2:12" ht="22" customHeight="1" x14ac:dyDescent="0.35">
      <c r="B15" s="14" t="s">
        <v>9</v>
      </c>
      <c r="C15" s="15"/>
      <c r="D15" s="15"/>
      <c r="E15" s="15"/>
      <c r="F15" s="15"/>
      <c r="G15" s="15"/>
      <c r="H15" s="15"/>
      <c r="I15" s="15"/>
      <c r="J15" s="15"/>
      <c r="K15" s="15"/>
      <c r="L15" s="13"/>
    </row>
    <row r="16" spans="2:12" ht="28" customHeight="1" x14ac:dyDescent="0.35">
      <c r="B16" s="12" t="s">
        <v>10</v>
      </c>
      <c r="C16" s="13"/>
      <c r="E16" s="12" t="s">
        <v>11</v>
      </c>
      <c r="F16" s="13"/>
      <c r="H16" s="12" t="s">
        <v>12</v>
      </c>
      <c r="I16" s="13"/>
      <c r="K16" s="12" t="s">
        <v>13</v>
      </c>
      <c r="L16" s="13"/>
    </row>
    <row r="17" spans="2:12" ht="28" customHeight="1" x14ac:dyDescent="0.35">
      <c r="B17" s="28">
        <f>'Engineering Calculations'!B20</f>
        <v>2</v>
      </c>
      <c r="C17" s="29"/>
      <c r="E17" s="28">
        <f>'Engineering Calculations'!B21</f>
        <v>0</v>
      </c>
      <c r="F17" s="29"/>
      <c r="H17" s="28">
        <f>'Engineering Calculations'!B22</f>
        <v>1</v>
      </c>
      <c r="I17" s="29"/>
      <c r="K17" s="28">
        <f>'Engineering Calculations'!B23</f>
        <v>1</v>
      </c>
      <c r="L17" s="29"/>
    </row>
    <row r="18" spans="2:12" ht="28" customHeight="1" x14ac:dyDescent="0.35">
      <c r="B18" s="12" t="s">
        <v>86</v>
      </c>
      <c r="C18" s="13"/>
      <c r="E18" s="12" t="s">
        <v>87</v>
      </c>
      <c r="F18" s="13"/>
      <c r="H18" s="12" t="s">
        <v>88</v>
      </c>
      <c r="I18" s="13"/>
      <c r="K18" s="12" t="s">
        <v>89</v>
      </c>
      <c r="L18" s="13"/>
    </row>
    <row r="19" spans="2:12" ht="22" customHeight="1" x14ac:dyDescent="0.35">
      <c r="B19" s="30">
        <f>'Engineering Calculations'!B24</f>
        <v>0</v>
      </c>
      <c r="C19" s="31"/>
      <c r="E19" s="30">
        <f>'Engineering Calculations'!B25</f>
        <v>0</v>
      </c>
      <c r="F19" s="31"/>
      <c r="H19" s="30">
        <f>'Engineering Calculations'!B26</f>
        <v>0</v>
      </c>
      <c r="I19" s="31"/>
      <c r="K19" s="30">
        <f>'Engineering Calculations'!B27</f>
        <v>1</v>
      </c>
      <c r="L19" s="31"/>
    </row>
    <row r="20" spans="2:12" ht="22" customHeight="1" x14ac:dyDescent="0.35">
      <c r="B20" s="4"/>
      <c r="C20" s="4"/>
    </row>
    <row r="21" spans="2:12" ht="22" customHeight="1" x14ac:dyDescent="0.35">
      <c r="B21" s="27" t="s">
        <v>14</v>
      </c>
      <c r="C21" s="15"/>
      <c r="D21" s="15"/>
      <c r="E21" s="15"/>
      <c r="F21" s="13"/>
      <c r="H21" s="27" t="s">
        <v>15</v>
      </c>
      <c r="I21" s="15"/>
      <c r="J21" s="15"/>
      <c r="K21" s="15"/>
      <c r="L21" s="13"/>
    </row>
    <row r="22" spans="2:12" ht="28" customHeight="1" x14ac:dyDescent="0.35">
      <c r="B22" s="20">
        <f>'Engineering Calculations'!B28</f>
        <v>237.5</v>
      </c>
      <c r="C22" s="21"/>
      <c r="D22" s="21"/>
      <c r="E22" s="21"/>
      <c r="F22" s="9"/>
      <c r="H22" s="23" t="str">
        <f>'Engineering Calculations'!B29</f>
        <v>2 × 100 kVAR, 1 × 25 kVAR, 1 × 12.5 kVAR, 1 × 2.5 kVAR</v>
      </c>
      <c r="I22" s="21"/>
      <c r="J22" s="21"/>
      <c r="K22" s="21"/>
      <c r="L22" s="9"/>
    </row>
    <row r="23" spans="2:12" ht="28" customHeight="1" x14ac:dyDescent="0.35">
      <c r="B23" s="10"/>
      <c r="C23" s="22"/>
      <c r="D23" s="22"/>
      <c r="E23" s="22"/>
      <c r="F23" s="11"/>
      <c r="H23" s="10"/>
      <c r="I23" s="22"/>
      <c r="J23" s="22"/>
      <c r="K23" s="22"/>
      <c r="L23" s="11"/>
    </row>
    <row r="24" spans="2:12" ht="22" customHeight="1" x14ac:dyDescent="0.35"/>
    <row r="25" spans="2:12" ht="22" customHeight="1" x14ac:dyDescent="0.35">
      <c r="B25" s="14" t="s">
        <v>16</v>
      </c>
      <c r="C25" s="15"/>
      <c r="D25" s="15"/>
      <c r="E25" s="15"/>
      <c r="F25" s="15"/>
      <c r="G25" s="15"/>
      <c r="H25" s="15"/>
      <c r="I25" s="15"/>
      <c r="J25" s="15"/>
      <c r="K25" s="15"/>
      <c r="L25" s="13"/>
    </row>
    <row r="26" spans="2:12" ht="22" customHeight="1" x14ac:dyDescent="0.35">
      <c r="B26" s="12" t="s">
        <v>17</v>
      </c>
      <c r="C26" s="15"/>
      <c r="D26" s="15"/>
      <c r="E26" s="15"/>
      <c r="F26" s="13"/>
      <c r="H26" s="24" t="s">
        <v>81</v>
      </c>
      <c r="I26" s="15"/>
      <c r="J26" s="15"/>
      <c r="K26" s="15"/>
      <c r="L26" s="13"/>
    </row>
    <row r="27" spans="2:12" ht="28" customHeight="1" x14ac:dyDescent="0.35">
      <c r="B27" s="12" t="s">
        <v>10</v>
      </c>
      <c r="C27" s="13"/>
      <c r="E27" s="12" t="s">
        <v>11</v>
      </c>
      <c r="F27" s="13"/>
      <c r="H27" s="12" t="s">
        <v>12</v>
      </c>
      <c r="I27" s="13"/>
      <c r="K27" s="12" t="s">
        <v>13</v>
      </c>
      <c r="L27" s="13"/>
    </row>
    <row r="28" spans="2:12" ht="28" customHeight="1" x14ac:dyDescent="0.35">
      <c r="B28" s="49">
        <v>2</v>
      </c>
      <c r="C28" s="50"/>
      <c r="E28" s="49">
        <v>1</v>
      </c>
      <c r="F28" s="50"/>
      <c r="H28" s="49">
        <v>1</v>
      </c>
      <c r="I28" s="50"/>
      <c r="K28" s="49">
        <v>1</v>
      </c>
      <c r="L28" s="50"/>
    </row>
    <row r="29" spans="2:12" ht="22" customHeight="1" x14ac:dyDescent="0.35">
      <c r="B29" s="12" t="s">
        <v>86</v>
      </c>
      <c r="C29" s="13"/>
      <c r="E29" s="12" t="s">
        <v>87</v>
      </c>
      <c r="F29" s="13"/>
      <c r="H29" s="12" t="s">
        <v>89</v>
      </c>
      <c r="I29" s="13"/>
      <c r="K29" s="12" t="s">
        <v>88</v>
      </c>
      <c r="L29" s="13"/>
    </row>
    <row r="30" spans="2:12" ht="22" customHeight="1" x14ac:dyDescent="0.35">
      <c r="B30" s="46">
        <v>2</v>
      </c>
      <c r="C30" s="47"/>
      <c r="E30" s="46">
        <v>1</v>
      </c>
      <c r="F30" s="47"/>
      <c r="H30" s="46">
        <v>1</v>
      </c>
      <c r="I30" s="47"/>
      <c r="K30" s="46">
        <v>1</v>
      </c>
      <c r="L30" s="47"/>
    </row>
    <row r="31" spans="2:12" ht="22" customHeight="1" x14ac:dyDescent="0.35">
      <c r="B31" s="27" t="s">
        <v>19</v>
      </c>
      <c r="C31" s="15"/>
      <c r="D31" s="15"/>
      <c r="E31" s="15"/>
      <c r="F31" s="13"/>
      <c r="H31" s="27" t="s">
        <v>20</v>
      </c>
      <c r="I31" s="15"/>
      <c r="J31" s="15"/>
      <c r="K31" s="15"/>
      <c r="L31" s="13"/>
    </row>
    <row r="32" spans="2:12" ht="28" customHeight="1" x14ac:dyDescent="0.35">
      <c r="B32" s="45">
        <f>'Engineering Calculations'!B41</f>
        <v>313.5</v>
      </c>
      <c r="C32" s="21"/>
      <c r="D32" s="21"/>
      <c r="E32" s="21"/>
      <c r="F32" s="9"/>
      <c r="H32" s="44" t="str">
        <f>'Engineering Calculations'!B42</f>
        <v>Installed bank is theoretically sufficient</v>
      </c>
      <c r="I32" s="21"/>
      <c r="J32" s="21"/>
      <c r="K32" s="21"/>
      <c r="L32" s="9"/>
    </row>
    <row r="33" spans="2:12" ht="28" customHeight="1" x14ac:dyDescent="0.35">
      <c r="B33" s="10"/>
      <c r="C33" s="22"/>
      <c r="D33" s="22"/>
      <c r="E33" s="22"/>
      <c r="F33" s="11"/>
      <c r="H33" s="10"/>
      <c r="I33" s="22"/>
      <c r="J33" s="22"/>
      <c r="K33" s="22"/>
      <c r="L33" s="11"/>
    </row>
    <row r="34" spans="2:12" ht="22" customHeight="1" x14ac:dyDescent="0.35"/>
    <row r="35" spans="2:12" ht="22" customHeight="1" x14ac:dyDescent="0.35"/>
    <row r="36" spans="2:12" ht="22" customHeight="1" x14ac:dyDescent="0.35">
      <c r="B36" s="25" t="s">
        <v>80</v>
      </c>
      <c r="C36" s="15"/>
      <c r="D36" s="15"/>
      <c r="E36" s="15"/>
      <c r="F36" s="15"/>
      <c r="G36" s="15"/>
      <c r="H36" s="15"/>
      <c r="I36" s="15"/>
      <c r="J36" s="15"/>
      <c r="K36" s="15"/>
      <c r="L36" s="13"/>
    </row>
    <row r="37" spans="2:12" ht="22" customHeight="1" x14ac:dyDescent="0.35">
      <c r="B37" s="12" t="s">
        <v>21</v>
      </c>
      <c r="C37" s="13"/>
      <c r="E37" s="12" t="s">
        <v>22</v>
      </c>
      <c r="F37" s="13"/>
      <c r="H37" s="12" t="s">
        <v>23</v>
      </c>
      <c r="I37" s="13"/>
      <c r="K37" s="24" t="s">
        <v>18</v>
      </c>
      <c r="L37" s="13"/>
    </row>
    <row r="38" spans="2:12" ht="22" customHeight="1" x14ac:dyDescent="0.35">
      <c r="B38" s="19">
        <v>0</v>
      </c>
      <c r="C38" s="9"/>
      <c r="E38" s="26">
        <v>750</v>
      </c>
      <c r="F38" s="9"/>
      <c r="H38" s="12" t="s">
        <v>24</v>
      </c>
      <c r="I38" s="9"/>
      <c r="K38" s="8">
        <f>'Engineering Calculations'!B56</f>
        <v>9.2878953482476323</v>
      </c>
      <c r="L38" s="9"/>
    </row>
    <row r="39" spans="2:12" ht="22" customHeight="1" x14ac:dyDescent="0.35">
      <c r="B39" s="10"/>
      <c r="C39" s="11"/>
      <c r="E39" s="10"/>
      <c r="F39" s="11"/>
      <c r="H39" s="10"/>
      <c r="I39" s="11"/>
      <c r="K39" s="10"/>
      <c r="L39" s="11"/>
    </row>
    <row r="40" spans="2:12" ht="22" customHeight="1" x14ac:dyDescent="0.35"/>
    <row r="41" spans="2:12" ht="22" customHeight="1" x14ac:dyDescent="0.35">
      <c r="B41" s="27" t="s">
        <v>25</v>
      </c>
      <c r="C41" s="15"/>
      <c r="D41" s="15"/>
      <c r="E41" s="15"/>
      <c r="F41" s="13"/>
    </row>
    <row r="42" spans="2:12" ht="28" customHeight="1" x14ac:dyDescent="0.35">
      <c r="B42" s="16">
        <f>'Engineering Calculations'!B57</f>
        <v>12.5</v>
      </c>
      <c r="C42" s="17"/>
      <c r="D42" s="17"/>
      <c r="E42" s="17"/>
      <c r="F42" s="18"/>
    </row>
    <row r="43" spans="2:12" ht="22" customHeight="1" x14ac:dyDescent="0.35"/>
    <row r="44" spans="2:12" ht="28" customHeight="1" x14ac:dyDescent="0.35">
      <c r="B44" s="5" t="s">
        <v>78</v>
      </c>
      <c r="C44" s="6"/>
      <c r="D44" s="6"/>
      <c r="E44" s="6"/>
      <c r="F44" s="6"/>
      <c r="G44" s="6"/>
      <c r="H44" s="6"/>
      <c r="I44" s="6"/>
      <c r="J44" s="6"/>
      <c r="K44" s="6"/>
      <c r="L44" s="7"/>
    </row>
    <row r="45" spans="2:12" ht="28" customHeight="1" x14ac:dyDescent="0.35"/>
    <row r="46" spans="2:12" ht="28" customHeight="1" x14ac:dyDescent="0.35"/>
    <row r="47" spans="2:12" ht="22" customHeight="1" x14ac:dyDescent="0.35"/>
    <row r="48" spans="2:12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</sheetData>
  <mergeCells count="78">
    <mergeCell ref="B30:C30"/>
    <mergeCell ref="E30:F30"/>
    <mergeCell ref="H30:I30"/>
    <mergeCell ref="K30:L30"/>
    <mergeCell ref="B13:L13"/>
    <mergeCell ref="B28:C28"/>
    <mergeCell ref="B29:C29"/>
    <mergeCell ref="E29:F29"/>
    <mergeCell ref="H29:I29"/>
    <mergeCell ref="K29:L29"/>
    <mergeCell ref="H19:I19"/>
    <mergeCell ref="E19:F19"/>
    <mergeCell ref="K28:L28"/>
    <mergeCell ref="H28:I28"/>
    <mergeCell ref="E28:F28"/>
    <mergeCell ref="B16:C16"/>
    <mergeCell ref="H37:I37"/>
    <mergeCell ref="B7:C7"/>
    <mergeCell ref="K16:L16"/>
    <mergeCell ref="E37:F37"/>
    <mergeCell ref="B21:F21"/>
    <mergeCell ref="H32:L33"/>
    <mergeCell ref="E9:F9"/>
    <mergeCell ref="B27:C27"/>
    <mergeCell ref="H27:I27"/>
    <mergeCell ref="H8:I8"/>
    <mergeCell ref="B9:C9"/>
    <mergeCell ref="B11:C11"/>
    <mergeCell ref="E11:F11"/>
    <mergeCell ref="H31:L31"/>
    <mergeCell ref="H26:L26"/>
    <mergeCell ref="B32:F33"/>
    <mergeCell ref="B2:L3"/>
    <mergeCell ref="K6:L6"/>
    <mergeCell ref="K8:L8"/>
    <mergeCell ref="K10:L10"/>
    <mergeCell ref="B8:C8"/>
    <mergeCell ref="E10:F10"/>
    <mergeCell ref="H7:L7"/>
    <mergeCell ref="H9:L9"/>
    <mergeCell ref="B4:L4"/>
    <mergeCell ref="E7:F7"/>
    <mergeCell ref="B6:F6"/>
    <mergeCell ref="E8:F8"/>
    <mergeCell ref="H6:I6"/>
    <mergeCell ref="B10:C10"/>
    <mergeCell ref="H16:I16"/>
    <mergeCell ref="H21:L21"/>
    <mergeCell ref="K27:L27"/>
    <mergeCell ref="B26:F26"/>
    <mergeCell ref="E16:F16"/>
    <mergeCell ref="K17:L17"/>
    <mergeCell ref="K18:L18"/>
    <mergeCell ref="K19:L19"/>
    <mergeCell ref="E27:F27"/>
    <mergeCell ref="B17:C17"/>
    <mergeCell ref="E17:F17"/>
    <mergeCell ref="H17:I17"/>
    <mergeCell ref="B18:C18"/>
    <mergeCell ref="E18:F18"/>
    <mergeCell ref="H18:I18"/>
    <mergeCell ref="B19:C19"/>
    <mergeCell ref="B44:L44"/>
    <mergeCell ref="K38:L39"/>
    <mergeCell ref="H10:I10"/>
    <mergeCell ref="B15:L15"/>
    <mergeCell ref="B42:F42"/>
    <mergeCell ref="B38:C39"/>
    <mergeCell ref="B25:L25"/>
    <mergeCell ref="B22:F23"/>
    <mergeCell ref="H22:L23"/>
    <mergeCell ref="K37:L37"/>
    <mergeCell ref="B36:L36"/>
    <mergeCell ref="E38:F39"/>
    <mergeCell ref="H38:I39"/>
    <mergeCell ref="B41:F41"/>
    <mergeCell ref="B37:C37"/>
    <mergeCell ref="B31:F31"/>
  </mergeCells>
  <conditionalFormatting sqref="K6">
    <cfRule type="cellIs" dxfId="1" priority="1" operator="lessThan">
      <formula>0.9</formula>
    </cfRule>
    <cfRule type="cellIs" dxfId="0" priority="2" operator="greaterThanOrEqual">
      <formula>0.9</formula>
    </cfRule>
  </conditionalFormatting>
  <dataValidations count="3">
    <dataValidation type="decimal" operator="greaterThanOrEqual" sqref="E38 B32 K28 H28 E28 B28 E7:E11 K30 H30 E30 B30" xr:uid="{00000000-0002-0000-0000-000000000000}">
      <formula1>0</formula1>
    </dataValidation>
    <dataValidation type="decimal" sqref="K8" xr:uid="{00000000-0002-0000-0000-00000B000000}">
      <formula1>0.01</formula1>
      <formula2>1</formula2>
    </dataValidation>
    <dataValidation type="list" sqref="H26 K37" xr:uid="{00000000-0002-0000-0000-00000C000000}">
      <formula1>"Yes,No"</formula1>
    </dataValidation>
  </dataValidations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showGridLines="0" workbookViewId="0">
      <selection activeCell="B41" sqref="B41"/>
    </sheetView>
  </sheetViews>
  <sheetFormatPr defaultRowHeight="14.5" x14ac:dyDescent="0.35"/>
  <cols>
    <col min="1" max="1" width="38" customWidth="1"/>
    <col min="2" max="2" width="28" customWidth="1"/>
    <col min="3" max="3" width="15" customWidth="1"/>
    <col min="4" max="4" width="45" customWidth="1"/>
  </cols>
  <sheetData>
    <row r="1" spans="1:2" ht="18.5" x14ac:dyDescent="0.45">
      <c r="A1" s="1" t="s">
        <v>26</v>
      </c>
    </row>
    <row r="3" spans="1:2" x14ac:dyDescent="0.35">
      <c r="A3" s="2" t="s">
        <v>27</v>
      </c>
    </row>
    <row r="5" spans="1:2" x14ac:dyDescent="0.35">
      <c r="A5" t="s">
        <v>2</v>
      </c>
      <c r="B5">
        <f>'Calculator Dashboard'!E7</f>
        <v>368000</v>
      </c>
    </row>
    <row r="6" spans="1:2" x14ac:dyDescent="0.35">
      <c r="A6" t="s">
        <v>3</v>
      </c>
      <c r="B6">
        <f>'Calculator Dashboard'!E8</f>
        <v>53243.311000000002</v>
      </c>
    </row>
    <row r="7" spans="1:2" x14ac:dyDescent="0.35">
      <c r="A7" t="s">
        <v>5</v>
      </c>
      <c r="B7">
        <f>'Calculator Dashboard'!E9</f>
        <v>254000</v>
      </c>
    </row>
    <row r="8" spans="1:2" x14ac:dyDescent="0.35">
      <c r="A8" t="s">
        <v>6</v>
      </c>
      <c r="B8">
        <f>'Calculator Dashboard'!E10</f>
        <v>30057.613000000001</v>
      </c>
    </row>
    <row r="9" spans="1:2" x14ac:dyDescent="0.35">
      <c r="A9" t="s">
        <v>8</v>
      </c>
      <c r="B9">
        <f>'Calculator Dashboard'!E11</f>
        <v>689.66200000000003</v>
      </c>
    </row>
    <row r="10" spans="1:2" x14ac:dyDescent="0.35">
      <c r="A10" t="s">
        <v>28</v>
      </c>
      <c r="B10">
        <f>'Calculator Dashboard'!K8</f>
        <v>0.95</v>
      </c>
    </row>
    <row r="12" spans="1:2" x14ac:dyDescent="0.35">
      <c r="A12" t="s">
        <v>29</v>
      </c>
      <c r="B12">
        <f>IFERROR((B5+B6)/SQRT((B5+B6)^2+(B7+B8)^2),0)</f>
        <v>0.82910562474308325</v>
      </c>
    </row>
    <row r="13" spans="1:2" x14ac:dyDescent="0.35">
      <c r="A13" t="s">
        <v>30</v>
      </c>
      <c r="B13">
        <f>B5+B6</f>
        <v>421243.31099999999</v>
      </c>
    </row>
    <row r="14" spans="1:2" x14ac:dyDescent="0.35">
      <c r="A14" t="s">
        <v>31</v>
      </c>
      <c r="B14">
        <f>B7+B8</f>
        <v>284057.61300000001</v>
      </c>
    </row>
    <row r="15" spans="1:2" x14ac:dyDescent="0.35">
      <c r="A15" t="s">
        <v>32</v>
      </c>
      <c r="B15">
        <f>B13*TAN(ACOS(B10))</f>
        <v>138455.98073861658</v>
      </c>
    </row>
    <row r="16" spans="1:2" x14ac:dyDescent="0.35">
      <c r="A16" t="s">
        <v>33</v>
      </c>
      <c r="B16">
        <f>MAX(0,B14-B15)</f>
        <v>145601.63226138343</v>
      </c>
    </row>
    <row r="17" spans="1:5" x14ac:dyDescent="0.35">
      <c r="A17" t="s">
        <v>34</v>
      </c>
      <c r="B17">
        <f>MAX(0,B9*(TAN(ACOS(B12))-TAN(ACOS(B10))))</f>
        <v>238.37983959975622</v>
      </c>
    </row>
    <row r="20" spans="1:5" x14ac:dyDescent="0.35">
      <c r="A20" t="s">
        <v>35</v>
      </c>
      <c r="B20">
        <f>INT(B17/100)</f>
        <v>2</v>
      </c>
      <c r="D20" t="s">
        <v>36</v>
      </c>
      <c r="E20" t="s">
        <v>37</v>
      </c>
    </row>
    <row r="21" spans="1:5" x14ac:dyDescent="0.35">
      <c r="A21" t="s">
        <v>38</v>
      </c>
      <c r="B21">
        <f>INT(MAX(0,B17-B20*100)/50)</f>
        <v>0</v>
      </c>
      <c r="D21" t="s">
        <v>39</v>
      </c>
      <c r="E21" t="s">
        <v>39</v>
      </c>
    </row>
    <row r="22" spans="1:5" x14ac:dyDescent="0.35">
      <c r="A22" t="s">
        <v>40</v>
      </c>
      <c r="B22">
        <f>INT(MAX(0,B17-B20*100-B21*50)/25)</f>
        <v>1</v>
      </c>
      <c r="D22">
        <f>B17</f>
        <v>238.37983959975622</v>
      </c>
      <c r="E22">
        <f>B28</f>
        <v>237.5</v>
      </c>
    </row>
    <row r="23" spans="1:5" x14ac:dyDescent="0.35">
      <c r="A23" t="s">
        <v>41</v>
      </c>
      <c r="B23">
        <f>INT(MAX(0,B17-B20*100-B21*50-B22*25)/12.5)</f>
        <v>1</v>
      </c>
    </row>
    <row r="24" spans="1:5" x14ac:dyDescent="0.35">
      <c r="A24" t="s">
        <v>82</v>
      </c>
      <c r="B24">
        <f>INT(MAX(0,B17-B20*100-B21*50-B22*25-B23*12.5)/7.5)</f>
        <v>0</v>
      </c>
    </row>
    <row r="25" spans="1:5" x14ac:dyDescent="0.35">
      <c r="A25" t="s">
        <v>83</v>
      </c>
      <c r="B25">
        <f>INT(MAX(0,B17-B20*100-B21*50-B22*25-B23*12.5-B24*7.5)/5)</f>
        <v>0</v>
      </c>
    </row>
    <row r="26" spans="1:5" x14ac:dyDescent="0.35">
      <c r="A26" t="s">
        <v>84</v>
      </c>
      <c r="B26">
        <f>INT(MAX(0,B17-B20*100-B21*50-B22*25-B23*12.5-B24*7.5-B25*5)/3.5)</f>
        <v>0</v>
      </c>
    </row>
    <row r="27" spans="1:5" x14ac:dyDescent="0.35">
      <c r="A27" t="s">
        <v>85</v>
      </c>
      <c r="B27">
        <f>IF(MAX(0,B17-B20*100-B21*50-B22*25-B23*12.5-B24*7.5-B25*5-B26*3.5)&gt;0,1,0)</f>
        <v>1</v>
      </c>
    </row>
    <row r="28" spans="1:5" x14ac:dyDescent="0.35">
      <c r="A28" t="s">
        <v>42</v>
      </c>
      <c r="B28">
        <f>B20*100+B21*50+B22*25+B23*12.5</f>
        <v>237.5</v>
      </c>
    </row>
    <row r="29" spans="1:5" x14ac:dyDescent="0.35">
      <c r="A29" t="s">
        <v>43</v>
      </c>
      <c r="B29" t="str">
        <f>IF(B20&gt;0,B20&amp;" × 100 kVAR, ","")&amp;IF(B21&gt;0,B21&amp;" × 50 kVAR, ","")&amp;IF(B22&gt;0,B22&amp;" × 25 kVAR, ","")&amp;IF(B23&gt;0,B23&amp;" × 12.5 kVAR, ","")&amp;IF(B24&gt;0,B24&amp;" × 7.5 kVAR, ","")&amp;IF(B25&gt;0,B25&amp;" × 5 kVAR, ","")&amp;IF(B26&gt;0,B26&amp;" × 3.5 kVAR, ","")&amp;IF(B27&gt;0,B27&amp;" × 2.5 kVAR","")</f>
        <v>2 × 100 kVAR, 1 × 25 kVAR, 1 × 12.5 kVAR, 1 × 2.5 kVAR</v>
      </c>
    </row>
    <row r="33" spans="1:2" x14ac:dyDescent="0.35">
      <c r="A33" t="s">
        <v>44</v>
      </c>
      <c r="B33">
        <f>'Calculator Dashboard'!B28</f>
        <v>2</v>
      </c>
    </row>
    <row r="34" spans="1:2" x14ac:dyDescent="0.35">
      <c r="A34" t="s">
        <v>45</v>
      </c>
      <c r="B34">
        <f>'Calculator Dashboard'!E28</f>
        <v>1</v>
      </c>
    </row>
    <row r="35" spans="1:2" x14ac:dyDescent="0.35">
      <c r="A35" t="s">
        <v>46</v>
      </c>
      <c r="B35">
        <f>'Calculator Dashboard'!H28</f>
        <v>1</v>
      </c>
    </row>
    <row r="36" spans="1:2" x14ac:dyDescent="0.35">
      <c r="A36" t="s">
        <v>47</v>
      </c>
      <c r="B36">
        <f>'Calculator Dashboard'!K28</f>
        <v>1</v>
      </c>
    </row>
    <row r="37" spans="1:2" x14ac:dyDescent="0.35">
      <c r="A37" t="s">
        <v>90</v>
      </c>
      <c r="B37">
        <f>'Calculator Dashboard'!B30</f>
        <v>2</v>
      </c>
    </row>
    <row r="38" spans="1:2" x14ac:dyDescent="0.35">
      <c r="A38" t="s">
        <v>91</v>
      </c>
      <c r="B38">
        <f>'Calculator Dashboard'!E30</f>
        <v>1</v>
      </c>
    </row>
    <row r="39" spans="1:2" x14ac:dyDescent="0.35">
      <c r="A39" t="s">
        <v>93</v>
      </c>
      <c r="B39">
        <f>'Calculator Dashboard'!H30</f>
        <v>1</v>
      </c>
    </row>
    <row r="40" spans="1:2" x14ac:dyDescent="0.35">
      <c r="A40" t="s">
        <v>92</v>
      </c>
      <c r="B40">
        <f>'Calculator Dashboard'!K30</f>
        <v>1</v>
      </c>
    </row>
    <row r="41" spans="1:2" x14ac:dyDescent="0.35">
      <c r="A41" t="s">
        <v>48</v>
      </c>
      <c r="B41">
        <f>B33*100+B34*50+B35*25+B36*12.5+B37*7.5+B38*5+B39*3.5+B40*2.5</f>
        <v>313.5</v>
      </c>
    </row>
    <row r="42" spans="1:2" x14ac:dyDescent="0.35">
      <c r="A42" t="s">
        <v>49</v>
      </c>
      <c r="B42" t="str">
        <f>IF(B41&gt;=B17,"Installed bank is theoretically sufficient","Installed bank is below estimated requirement")</f>
        <v>Installed bank is theoretically sufficient</v>
      </c>
    </row>
    <row r="44" spans="1:2" x14ac:dyDescent="0.35">
      <c r="A44" t="s">
        <v>50</v>
      </c>
      <c r="B44" t="e">
        <f>'Calculator Dashboard'!#REF!</f>
        <v>#REF!</v>
      </c>
    </row>
    <row r="45" spans="1:2" x14ac:dyDescent="0.35">
      <c r="A45" t="s">
        <v>51</v>
      </c>
      <c r="B45" t="e">
        <f>'Calculator Dashboard'!#REF!</f>
        <v>#REF!</v>
      </c>
    </row>
    <row r="47" spans="1:2" x14ac:dyDescent="0.35">
      <c r="A47" t="s">
        <v>52</v>
      </c>
      <c r="B47" t="e">
        <f>IF(B44="No","Solar diagnostic not applicable",IF(B45="Upstream of Solar","CT location is generally aligned with utility-side PF measurement; verify CT polarity/phase and controller configuration",IF(B45="Downstream of Solar","Check CT measurement philosophy: controller may not see net utility-side power correctly; verify against PCC and manufacturer guidance","Select a CT location")))</f>
        <v>#REF!</v>
      </c>
    </row>
    <row r="52" spans="1:2" x14ac:dyDescent="0.35">
      <c r="A52" t="s">
        <v>53</v>
      </c>
      <c r="B52">
        <f>'Calculator Dashboard'!B38</f>
        <v>0</v>
      </c>
    </row>
    <row r="53" spans="1:2" x14ac:dyDescent="0.35">
      <c r="A53" t="s">
        <v>54</v>
      </c>
      <c r="B53">
        <f>'Calculator Dashboard'!E38</f>
        <v>750</v>
      </c>
    </row>
    <row r="54" spans="1:2" x14ac:dyDescent="0.35">
      <c r="A54" t="s">
        <v>55</v>
      </c>
      <c r="B54">
        <f>B53*IF(B53&lt;=315,0.0175,IF(B53&lt;=630,0.015,IF(B53&lt;=1000,0.0125,0.01)))</f>
        <v>9.375</v>
      </c>
    </row>
    <row r="55" spans="1:2" x14ac:dyDescent="0.35">
      <c r="A55" t="s">
        <v>56</v>
      </c>
      <c r="B55">
        <f>B53*IF(B53&lt;=315,0.0018,IF(B53&lt;=630,0.0019,IF(B53&lt;=1000,0.0017,0.0016)))</f>
        <v>1.2749999999999999</v>
      </c>
    </row>
    <row r="56" spans="1:2" x14ac:dyDescent="0.35">
      <c r="A56" t="s">
        <v>57</v>
      </c>
      <c r="B56">
        <f>SQRT(MAX(0,B54^2-B55^2))</f>
        <v>9.2878953482476323</v>
      </c>
    </row>
    <row r="57" spans="1:2" x14ac:dyDescent="0.35">
      <c r="A57" t="s">
        <v>58</v>
      </c>
      <c r="B57">
        <f>IF(B56&lt;=0,0,IF(B56&lt;=2.5,2.5,IF(B56&lt;=3.5,3.5,IF(B56&lt;=5,5,IF(B56&lt;=7.5,7.5,IF(B56&lt;=12.5,12.5,IF(B56&lt;=25,25,IF(B56&lt;=50,50,IF(B56&lt;=100,100,CEILING(B56,2.5))))))))))</f>
        <v>12.5</v>
      </c>
    </row>
    <row r="58" spans="1:2" x14ac:dyDescent="0.35">
      <c r="A58" t="s">
        <v>59</v>
      </c>
      <c r="B58" t="str">
        <f>IF(B57&lt;=0,"None",IF(B57&lt;=2.5,"2.5 kVAR",IF(B57&lt;=3.5,"3.5 kVAR",IF(B57&lt;=5,"5 kVAR",IF(B57&lt;=7.5,"7.5 kVAR",IF(B57&lt;=12.5,"12.5 kVAR",IF(B57&lt;=25,"25 kVAR",IF(B57&lt;=50,"50 kVAR",IF(B57&lt;=100,"100 kVAR","&gt;100 kVAR")))))))))</f>
        <v>12.5 kVAR</v>
      </c>
    </row>
  </sheetData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defaultRowHeight="14.5" x14ac:dyDescent="0.35"/>
  <cols>
    <col min="1" max="1" width="30" customWidth="1"/>
    <col min="2" max="2" width="70" customWidth="1"/>
    <col min="3" max="5" width="20" customWidth="1"/>
  </cols>
  <sheetData>
    <row r="1" spans="1:5" ht="18.5" x14ac:dyDescent="0.45">
      <c r="A1" s="1" t="s">
        <v>60</v>
      </c>
    </row>
    <row r="3" spans="1:5" x14ac:dyDescent="0.35">
      <c r="A3" s="3" t="s">
        <v>61</v>
      </c>
      <c r="B3" s="51" t="s">
        <v>62</v>
      </c>
      <c r="C3" s="52"/>
      <c r="D3" s="52"/>
      <c r="E3" s="52"/>
    </row>
    <row r="4" spans="1:5" x14ac:dyDescent="0.35">
      <c r="A4" s="3" t="s">
        <v>63</v>
      </c>
      <c r="B4" s="51" t="s">
        <v>64</v>
      </c>
      <c r="C4" s="52"/>
      <c r="D4" s="52"/>
      <c r="E4" s="52"/>
    </row>
    <row r="5" spans="1:5" x14ac:dyDescent="0.35">
      <c r="A5" s="3" t="s">
        <v>65</v>
      </c>
      <c r="B5" s="51" t="s">
        <v>66</v>
      </c>
      <c r="C5" s="52"/>
      <c r="D5" s="52"/>
      <c r="E5" s="52"/>
    </row>
    <row r="6" spans="1:5" x14ac:dyDescent="0.35">
      <c r="A6" s="3" t="s">
        <v>67</v>
      </c>
      <c r="B6" s="51" t="s">
        <v>68</v>
      </c>
      <c r="C6" s="52"/>
      <c r="D6" s="52"/>
      <c r="E6" s="52"/>
    </row>
    <row r="7" spans="1:5" x14ac:dyDescent="0.35">
      <c r="A7" s="3" t="s">
        <v>69</v>
      </c>
      <c r="B7" s="51" t="s">
        <v>70</v>
      </c>
      <c r="C7" s="52"/>
      <c r="D7" s="52"/>
      <c r="E7" s="52"/>
    </row>
    <row r="8" spans="1:5" x14ac:dyDescent="0.35">
      <c r="A8" s="3" t="s">
        <v>71</v>
      </c>
      <c r="B8" s="51" t="s">
        <v>72</v>
      </c>
      <c r="C8" s="52"/>
      <c r="D8" s="52"/>
      <c r="E8" s="52"/>
    </row>
    <row r="9" spans="1:5" x14ac:dyDescent="0.35">
      <c r="A9" s="3" t="s">
        <v>73</v>
      </c>
      <c r="B9" s="51" t="s">
        <v>74</v>
      </c>
      <c r="C9" s="52"/>
      <c r="D9" s="52"/>
      <c r="E9" s="52"/>
    </row>
    <row r="10" spans="1:5" x14ac:dyDescent="0.35">
      <c r="A10" s="3" t="s">
        <v>75</v>
      </c>
      <c r="B10" s="51" t="s">
        <v>76</v>
      </c>
      <c r="C10" s="52"/>
      <c r="D10" s="52"/>
      <c r="E10" s="52"/>
    </row>
  </sheetData>
  <mergeCells count="8">
    <mergeCell ref="B3:E3"/>
    <mergeCell ref="B5:E5"/>
    <mergeCell ref="B10:E10"/>
    <mergeCell ref="B9:E9"/>
    <mergeCell ref="B8:E8"/>
    <mergeCell ref="B4:E4"/>
    <mergeCell ref="B6:E6"/>
    <mergeCell ref="B7:E7"/>
  </mergeCells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Calculator Dashboard</vt:lpstr>
      <vt:lpstr>Engineering Calculations</vt:lpstr>
      <vt:lpstr>Assumptions &amp; Notes</vt:lpstr>
      <vt:lpstr>'Calculator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Shareef Rathore</cp:lastModifiedBy>
  <dcterms:created xsi:type="dcterms:W3CDTF">2026-08-13T17:18:11Z</dcterms:created>
  <dcterms:modified xsi:type="dcterms:W3CDTF">2026-08-23T19:16:55Z</dcterms:modified>
</cp:coreProperties>
</file>